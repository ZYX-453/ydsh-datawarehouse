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企业项目实战\docs\"/>
    </mc:Choice>
  </mc:AlternateContent>
  <xr:revisionPtr revIDLastSave="0" documentId="13_ncr:1_{CAF7DD9C-8352-490A-9549-D47E273D08B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总览" sheetId="1" r:id="rId1"/>
    <sheet name="完整性" sheetId="2" r:id="rId2"/>
    <sheet name="唯一性" sheetId="3" r:id="rId3"/>
    <sheet name="有效性" sheetId="4" r:id="rId4"/>
    <sheet name="一致性" sheetId="5" r:id="rId5"/>
    <sheet name="准确性" sheetId="6" r:id="rId6"/>
    <sheet name="问题汇总" sheetId="7" r:id="rId7"/>
    <sheet name="清洗对比" sheetId="8" r:id="rId8"/>
  </sheets>
  <definedNames>
    <definedName name="_xlnm._FilterDatabase" localSheetId="1" hidden="1">完整性!$A$2:$F$10</definedName>
    <definedName name="_xlnm._FilterDatabase" localSheetId="6" hidden="1">问题汇总!$A$2:$D$8</definedName>
    <definedName name="_xlnm._FilterDatabase" localSheetId="3" hidden="1">有效性!$A$2:$E$57</definedName>
    <definedName name="_xlnm._FilterDatabase" localSheetId="5" hidden="1">准确性!$A$2:$F$13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8" l="1"/>
  <c r="B23" i="8"/>
  <c r="B22" i="8"/>
  <c r="B24" i="8" s="1"/>
  <c r="B15" i="3"/>
  <c r="C9" i="3"/>
  <c r="B9" i="3"/>
  <c r="D8" i="3"/>
  <c r="E8" i="3" s="1"/>
  <c r="D7" i="3"/>
  <c r="E7" i="3" s="1"/>
  <c r="E6" i="3"/>
  <c r="D6" i="3"/>
  <c r="E5" i="3"/>
  <c r="D5" i="3"/>
  <c r="D4" i="3"/>
  <c r="E4" i="3" s="1"/>
  <c r="D3" i="3"/>
  <c r="E10" i="2"/>
  <c r="E9" i="2"/>
  <c r="E8" i="2"/>
  <c r="E7" i="2"/>
  <c r="E6" i="2"/>
  <c r="E5" i="2"/>
  <c r="E4" i="2"/>
  <c r="E3" i="2"/>
  <c r="C9" i="1"/>
  <c r="E3" i="3" l="1"/>
  <c r="D9" i="3"/>
  <c r="E9" i="3" s="1"/>
</calcChain>
</file>

<file path=xl/sharedStrings.xml><?xml version="1.0" encoding="utf-8"?>
<sst xmlns="http://schemas.openxmlformats.org/spreadsheetml/2006/main" count="509" uniqueCount="271">
  <si>
    <t>数据质量预评估表 · 总览（ODS 贴源层 6 张表）</t>
  </si>
  <si>
    <t>序号</t>
  </si>
  <si>
    <t>表名</t>
  </si>
  <si>
    <t>行数</t>
  </si>
  <si>
    <t>主键</t>
  </si>
  <si>
    <t>主要问题</t>
  </si>
  <si>
    <t>ods_user</t>
  </si>
  <si>
    <t>user_id</t>
  </si>
  <si>
    <t>4 字段缺失、年龄异常、性别与会员等级枚举混乱、日期与手机号格式不一致</t>
  </si>
  <si>
    <t>ods_product</t>
  </si>
  <si>
    <t>product_id</t>
  </si>
  <si>
    <t>上架日期缺失、价格负值与异常高价、类目含尾空格</t>
  </si>
  <si>
    <t>ods_store</t>
  </si>
  <si>
    <t>store_id</t>
  </si>
  <si>
    <t>无明显脏数据</t>
  </si>
  <si>
    <t>ods_order</t>
  </si>
  <si>
    <t>order_id</t>
  </si>
  <si>
    <t>主键重复 600 行、金额负值与超大值、状态/支付方式/渠道枚举混乱</t>
  </si>
  <si>
    <t>ods_order_item</t>
  </si>
  <si>
    <t>item_id</t>
  </si>
  <si>
    <t>数量 0/负数/超大、单价 0 与负值</t>
  </si>
  <si>
    <t>ods_user_behavior</t>
  </si>
  <si>
    <t>behavior_id</t>
  </si>
  <si>
    <t>行为类型中英文混用、时间格式混用</t>
  </si>
  <si>
    <t>合计</t>
  </si>
  <si>
    <t>6 张表</t>
  </si>
  <si>
    <t>—</t>
  </si>
  <si>
    <t>完整性（Completeness）—— 字段空值率</t>
  </si>
  <si>
    <t>字段</t>
  </si>
  <si>
    <t>空值数</t>
  </si>
  <si>
    <t>表总行数</t>
  </si>
  <si>
    <t>空值率</t>
  </si>
  <si>
    <t>处置策略</t>
  </si>
  <si>
    <t>gender</t>
  </si>
  <si>
    <t>填充为「未知」</t>
  </si>
  <si>
    <t>age</t>
  </si>
  <si>
    <t>用业务有效区间（1~120）内中位数填充</t>
  </si>
  <si>
    <t>member_level</t>
  </si>
  <si>
    <t>填充为「普通会员」</t>
  </si>
  <si>
    <t>email</t>
  </si>
  <si>
    <t>保留空值，新增标记字段便于识别</t>
  </si>
  <si>
    <t>launch_date</t>
  </si>
  <si>
    <t>按类目同期上架日期补全，无法补全则置分区日期</t>
  </si>
  <si>
    <t>全字段</t>
  </si>
  <si>
    <t>无需处理</t>
  </si>
  <si>
    <t>唯一性（Uniqueness）—— 主键重复检测</t>
  </si>
  <si>
    <t>总行数</t>
  </si>
  <si>
    <t>唯一主键数</t>
  </si>
  <si>
    <t>重复行数</t>
  </si>
  <si>
    <t>重复率</t>
  </si>
  <si>
    <t>ods_order 重复值细分（区分两类重复，处置策略不同）</t>
  </si>
  <si>
    <t>类型</t>
  </si>
  <si>
    <t>组数</t>
  </si>
  <si>
    <t>说明</t>
  </si>
  <si>
    <t>处置</t>
  </si>
  <si>
    <t>整行完全重复</t>
  </si>
  <si>
    <t>所有字段取值完全相同，属采集环节重复写入</t>
  </si>
  <si>
    <t>直接去重，保留 1 条</t>
  </si>
  <si>
    <t>主键重复但内容不同</t>
  </si>
  <si>
    <t>同一 order_id 下字段有差异，需业务判断</t>
  </si>
  <si>
    <t>按 order_time 取最新一条</t>
  </si>
  <si>
    <t>重复组数应等于上表 586</t>
  </si>
  <si>
    <t>有效性（Validity）—— 枚举取值合法性扫描</t>
  </si>
  <si>
    <t>取值</t>
  </si>
  <si>
    <t>出现次数</t>
  </si>
  <si>
    <t>合法性</t>
  </si>
  <si>
    <t>归并到</t>
  </si>
  <si>
    <t>ods_order.order_status</t>
  </si>
  <si>
    <t>已完成</t>
  </si>
  <si>
    <t>合法</t>
  </si>
  <si>
    <t>已支付</t>
  </si>
  <si>
    <t>待支付</t>
  </si>
  <si>
    <t>已取消</t>
  </si>
  <si>
    <t>退款中</t>
  </si>
  <si>
    <t>1</t>
  </si>
  <si>
    <t>非法</t>
  </si>
  <si>
    <t>2</t>
  </si>
  <si>
    <t>3</t>
  </si>
  <si>
    <t>4</t>
  </si>
  <si>
    <t>已付款</t>
  </si>
  <si>
    <t>完成</t>
  </si>
  <si>
    <t>cancelled</t>
  </si>
  <si>
    <t>ods_order.pay_type</t>
  </si>
  <si>
    <t>支付宝</t>
  </si>
  <si>
    <t>微信支付</t>
  </si>
  <si>
    <t>货到付款</t>
  </si>
  <si>
    <t>银行卡</t>
  </si>
  <si>
    <t>wechat</t>
  </si>
  <si>
    <t>微信</t>
  </si>
  <si>
    <t>alipay</t>
  </si>
  <si>
    <t>ods_order.channel</t>
  </si>
  <si>
    <t>门店</t>
  </si>
  <si>
    <t>APP</t>
  </si>
  <si>
    <t>小程序</t>
  </si>
  <si>
    <t>PC官网</t>
  </si>
  <si>
    <t>app</t>
  </si>
  <si>
    <t>pc</t>
  </si>
  <si>
    <t>ods_user.gender</t>
  </si>
  <si>
    <t>女</t>
  </si>
  <si>
    <t>男</t>
  </si>
  <si>
    <t>male</t>
  </si>
  <si>
    <t>female</t>
  </si>
  <si>
    <t>F</t>
  </si>
  <si>
    <t>M</t>
  </si>
  <si>
    <t>未知</t>
  </si>
  <si>
    <t>（空）</t>
  </si>
  <si>
    <t>ods_user.member_level</t>
  </si>
  <si>
    <t>钻石会员</t>
  </si>
  <si>
    <t>金卡会员</t>
  </si>
  <si>
    <t>银卡会员</t>
  </si>
  <si>
    <t>普通会员</t>
  </si>
  <si>
    <t>金卡</t>
  </si>
  <si>
    <t>银卡</t>
  </si>
  <si>
    <t>钻石</t>
  </si>
  <si>
    <t>普通</t>
  </si>
  <si>
    <t>gold</t>
  </si>
  <si>
    <t>silver</t>
  </si>
  <si>
    <t>normal</t>
  </si>
  <si>
    <t>ods_user_behavior.behavior_type</t>
  </si>
  <si>
    <t>pv</t>
  </si>
  <si>
    <t>pv（浏览）</t>
  </si>
  <si>
    <t>buy</t>
  </si>
  <si>
    <t>buy（购买）</t>
  </si>
  <si>
    <t>cart</t>
  </si>
  <si>
    <t>cart（加购）</t>
  </si>
  <si>
    <t>fav</t>
  </si>
  <si>
    <t>fav（收藏）</t>
  </si>
  <si>
    <t>Cart</t>
  </si>
  <si>
    <t>浏览</t>
  </si>
  <si>
    <t>PV</t>
  </si>
  <si>
    <t>加购</t>
  </si>
  <si>
    <t>收藏</t>
  </si>
  <si>
    <t>购买</t>
  </si>
  <si>
    <t>ods_product.category —— 16 种取值（合法域 8 种）</t>
  </si>
  <si>
    <t>8 个一级类目（数码家电/服饰鞋包/食品生鲜/美妆个护/家居生活/母婴玩具/运动户外/图书文娱）各存在「带尾空格」与「不带尾空格」两种形态，共 16 种。处置：TRIM(category) 统一去除首尾空格。</t>
  </si>
  <si>
    <t>一致性（Consistency）—— 格式统一性与跨表关联</t>
  </si>
  <si>
    <t>5.1 日期格式分布</t>
  </si>
  <si>
    <t>格式分布</t>
  </si>
  <si>
    <t>统一目标</t>
  </si>
  <si>
    <t>register_date</t>
  </si>
  <si>
    <t>ISO 2023-11-25：875 条 ／ 斜杠 2023/11/25：100 条 ／ 纯数字 20231125：25 条</t>
  </si>
  <si>
    <t>yyyy-MM-dd</t>
  </si>
  <si>
    <t>order_date</t>
  </si>
  <si>
    <t>斜杠 2024/7/26：15,600 条（100%，且月日不补零）</t>
  </si>
  <si>
    <t>behavior_time</t>
  </si>
  <si>
    <t>2024-11-05 10:20:30：53,912 条 ／ 2024/11/05 10:20：6,088 条</t>
  </si>
  <si>
    <t>yyyy-MM-dd HH:mm:ss</t>
  </si>
  <si>
    <t>5.2 手机号格式（ods_user.phone）</t>
  </si>
  <si>
    <t>形态</t>
  </si>
  <si>
    <t>数量</t>
  </si>
  <si>
    <t>纯数字 11 位（13892127520）</t>
  </si>
  <si>
    <t>保留</t>
  </si>
  <si>
    <t>带横杠（138-9212-7520）</t>
  </si>
  <si>
    <t>去横杠统一为 11 位纯数字</t>
  </si>
  <si>
    <t>5.3 跨表关联完整性（孤儿外键检查）</t>
  </si>
  <si>
    <t>关联关系</t>
  </si>
  <si>
    <t>孤儿记录数</t>
  </si>
  <si>
    <t>结论</t>
  </si>
  <si>
    <t>order_item.order_id → order.order_id</t>
  </si>
  <si>
    <t>完整</t>
  </si>
  <si>
    <t>order_item.product_id → product.product_id</t>
  </si>
  <si>
    <t>order.user_id → user.user_id</t>
  </si>
  <si>
    <t>order.store_id → store.store_id</t>
  </si>
  <si>
    <t>behavior.user_id → user.user_id</t>
  </si>
  <si>
    <t>behavior.product_id → product.product_id</t>
  </si>
  <si>
    <t>无明细的订单</t>
  </si>
  <si>
    <t>结论：外键关联 100% 完整，无孤儿记录、无孤立订单，可直接安全 JOIN。</t>
  </si>
  <si>
    <t>准确性（Accuracy）—— 数值业务合理性</t>
  </si>
  <si>
    <t>异常类型</t>
  </si>
  <si>
    <t>合理区间</t>
  </si>
  <si>
    <t>负值 / 0 / 超大（-3、0、150、200）</t>
  </si>
  <si>
    <t>1～120</t>
  </si>
  <si>
    <t>视为缺失，用中位数填充</t>
  </si>
  <si>
    <t>price</t>
  </si>
  <si>
    <t>负数</t>
  </si>
  <si>
    <t>&gt; 0</t>
  </si>
  <si>
    <t>取绝对值或按成本价 × 毛利率重算</t>
  </si>
  <si>
    <t>异常高价</t>
  </si>
  <si>
    <t>≤ 100,000</t>
  </si>
  <si>
    <t>按类目均价修正</t>
  </si>
  <si>
    <t>pay_amount</t>
  </si>
  <si>
    <t>≥ 0</t>
  </si>
  <si>
    <t>视订单状态处理（退款类保留、其余置 0）</t>
  </si>
  <si>
    <t>百万级异常</t>
  </si>
  <si>
    <t>按明细汇总或类目均价修正</t>
  </si>
  <si>
    <t>quantity</t>
  </si>
  <si>
    <t>0 值</t>
  </si>
  <si>
    <t>≥ 1</t>
  </si>
  <si>
    <t>过滤</t>
  </si>
  <si>
    <t>超大值（最大 99）</t>
  </si>
  <si>
    <t>≤ 50</t>
  </si>
  <si>
    <t>过滤或截断</t>
  </si>
  <si>
    <t>unit_price</t>
  </si>
  <si>
    <t>0 或负值</t>
  </si>
  <si>
    <t>用商品表 price 回填</t>
  </si>
  <si>
    <t>discount</t>
  </si>
  <si>
    <t>超出 [0,1]</t>
  </si>
  <si>
    <t>0～1</t>
  </si>
  <si>
    <t>area</t>
  </si>
  <si>
    <t>50～5,000 ㎡</t>
  </si>
  <si>
    <t>问题汇总与优先级</t>
  </si>
  <si>
    <t>优先级</t>
  </si>
  <si>
    <t>问题</t>
  </si>
  <si>
    <t>影响范围</t>
  </si>
  <si>
    <t>处理周期</t>
  </si>
  <si>
    <t>P0</t>
  </si>
  <si>
    <t>ods_order 主键重复 600 行</t>
  </si>
  <si>
    <t>会影响所有订单量、GMV 统计</t>
  </si>
  <si>
    <t>第 1 周（子任务 7）</t>
  </si>
  <si>
    <t>缺失值：age 51、email 193、gender 84、member_level 14、launch_date 11</t>
  </si>
  <si>
    <t>影响用户画像与商品分析</t>
  </si>
  <si>
    <t>第 1 周（子任务 6）</t>
  </si>
  <si>
    <t>P1</t>
  </si>
  <si>
    <t>枚举取值混乱：order_status 1,375 行、pay_type/channel/gender/member_level/behavior_type</t>
  </si>
  <si>
    <t>影响所有分组维度统计</t>
  </si>
  <si>
    <t>第 1 周起，第 2 周完成</t>
  </si>
  <si>
    <t>异常值：负金额 310、超大金额 312、负年龄 27、单价 0/负 798、数量异常 718</t>
  </si>
  <si>
    <t>影响金额类与销量类指标</t>
  </si>
  <si>
    <t>第 2 周</t>
  </si>
  <si>
    <t>P2</t>
  </si>
  <si>
    <t>格式不一致：日期 3 种（register_date）、手机号 2 种、时间 2 种</t>
  </si>
  <si>
    <t>影响时间维度分析</t>
  </si>
  <si>
    <t>类目尾空格（8 类变 16 种）</t>
  </si>
  <si>
    <t>影响品类维度统计</t>
  </si>
  <si>
    <t>清洗前后对比（第 1 周成果）</t>
  </si>
  <si>
    <t>9.1 行数变化</t>
  </si>
  <si>
    <t>对象</t>
  </si>
  <si>
    <t>ODS（清洗前）</t>
  </si>
  <si>
    <t>DWD（清洗后）</t>
  </si>
  <si>
    <t>变化</t>
  </si>
  <si>
    <t>用户表</t>
  </si>
  <si>
    <t>行数不变，问题清零</t>
  </si>
  <si>
    <t>商品表</t>
  </si>
  <si>
    <t>订单表</t>
  </si>
  <si>
    <t>去重删除 600 行</t>
  </si>
  <si>
    <t>门店表</t>
  </si>
  <si>
    <t>无脏数据，未入 DWD</t>
  </si>
  <si>
    <t>明细表</t>
  </si>
  <si>
    <t>本周未处理</t>
  </si>
  <si>
    <t>行为表</t>
  </si>
  <si>
    <t>9.2 缺失值与重复值修复</t>
  </si>
  <si>
    <t>问题类型</t>
  </si>
  <si>
    <t>清洗前</t>
  </si>
  <si>
    <t>清洗后</t>
  </si>
  <si>
    <t>处置方式</t>
  </si>
  <si>
    <t>年龄缺失/异常</t>
  </si>
  <si>
    <t>有效年龄中位数填充（78 = 空 51 + 异常 27）</t>
  </si>
  <si>
    <t>性别缺失</t>
  </si>
  <si>
    <t>会员等级缺失</t>
  </si>
  <si>
    <t>上架日期缺失</t>
  </si>
  <si>
    <t>按类目上架日期中位数补全</t>
  </si>
  <si>
    <t>订单主键重复</t>
  </si>
  <si>
    <t>ROW_NUMBER 去重</t>
  </si>
  <si>
    <t>邮箱缺失</t>
  </si>
  <si>
    <t>策略性保留，仅加 email_is_null 标记</t>
  </si>
  <si>
    <t>9.3 修复率（口径：不含邮箱，属策略性保留）</t>
  </si>
  <si>
    <t>指标</t>
  </si>
  <si>
    <t>数值</t>
  </si>
  <si>
    <t>清洗前问题总数</t>
  </si>
  <si>
    <t>用户表 176 + 商品表 11 + 订单表 600</t>
  </si>
  <si>
    <t>清洗后问题总数</t>
  </si>
  <si>
    <t>P0 问题全部清零</t>
  </si>
  <si>
    <t>修复率</t>
  </si>
  <si>
    <t>9.4 重复订单细分</t>
  </si>
  <si>
    <t>ODS 订单总行数</t>
  </si>
  <si>
    <t>唯一订单数</t>
  </si>
  <si>
    <t>重复行数 / 总行数</t>
  </si>
  <si>
    <t>曾重复的订单组数</t>
  </si>
  <si>
    <t>单订单最大重复次数</t>
  </si>
  <si>
    <t>始终唯一的订单</t>
  </si>
  <si>
    <t>校验：586 + 14,414 = 15,000 ✅　（去重未误删任何有明细引用的订单，孤儿记录 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</si>
</sst>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3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.5"/>
      <color rgb="FF2F5597"/>
      <name val="微软雅黑"/>
      <family val="2"/>
      <charset val="134"/>
    </font>
    <font>
      <b/>
      <sz val="10"/>
      <color rgb="FF00610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  <xf numFmtId="10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/>
    </xf>
  </cellXfs>
  <cellStyles count="1">
    <cellStyle name="常规" xfId="0" builtinId="0"/>
  </cellStyles>
  <dxfs count="6"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2" topLeftCell="A3" activePane="bottomLeft" state="frozen"/>
      <selection pane="bottomLeft" sqref="A1:E1"/>
    </sheetView>
  </sheetViews>
  <sheetFormatPr defaultRowHeight="14"/>
  <cols>
    <col min="1" max="1" width="6" customWidth="1"/>
    <col min="2" max="2" width="22" customWidth="1"/>
    <col min="3" max="3" width="12" customWidth="1"/>
    <col min="4" max="4" width="14" customWidth="1"/>
    <col min="5" max="5" width="62" customWidth="1"/>
  </cols>
  <sheetData>
    <row r="1" spans="1:5" ht="28" customHeight="1">
      <c r="A1" s="10" t="s">
        <v>0</v>
      </c>
      <c r="B1" s="11"/>
      <c r="C1" s="11"/>
      <c r="D1" s="11"/>
      <c r="E1" s="11"/>
    </row>
    <row r="2" spans="1:5" ht="2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30" customHeight="1">
      <c r="A3" s="2">
        <v>1</v>
      </c>
      <c r="B3" s="3" t="s">
        <v>6</v>
      </c>
      <c r="C3" s="4">
        <v>1000</v>
      </c>
      <c r="D3" s="2" t="s">
        <v>7</v>
      </c>
      <c r="E3" s="3" t="s">
        <v>8</v>
      </c>
    </row>
    <row r="4" spans="1:5" ht="30" customHeight="1">
      <c r="A4" s="2">
        <v>2</v>
      </c>
      <c r="B4" s="3" t="s">
        <v>9</v>
      </c>
      <c r="C4" s="4">
        <v>600</v>
      </c>
      <c r="D4" s="2" t="s">
        <v>10</v>
      </c>
      <c r="E4" s="3" t="s">
        <v>11</v>
      </c>
    </row>
    <row r="5" spans="1:5" ht="30" customHeight="1">
      <c r="A5" s="2">
        <v>3</v>
      </c>
      <c r="B5" s="3" t="s">
        <v>12</v>
      </c>
      <c r="C5" s="4">
        <v>60</v>
      </c>
      <c r="D5" s="2" t="s">
        <v>13</v>
      </c>
      <c r="E5" s="3" t="s">
        <v>14</v>
      </c>
    </row>
    <row r="6" spans="1:5" ht="30" customHeight="1">
      <c r="A6" s="2">
        <v>4</v>
      </c>
      <c r="B6" s="3" t="s">
        <v>15</v>
      </c>
      <c r="C6" s="4">
        <v>15600</v>
      </c>
      <c r="D6" s="2" t="s">
        <v>16</v>
      </c>
      <c r="E6" s="3" t="s">
        <v>17</v>
      </c>
    </row>
    <row r="7" spans="1:5" ht="30" customHeight="1">
      <c r="A7" s="2">
        <v>5</v>
      </c>
      <c r="B7" s="3" t="s">
        <v>18</v>
      </c>
      <c r="C7" s="4">
        <v>37549</v>
      </c>
      <c r="D7" s="2" t="s">
        <v>19</v>
      </c>
      <c r="E7" s="3" t="s">
        <v>20</v>
      </c>
    </row>
    <row r="8" spans="1:5" ht="30" customHeight="1">
      <c r="A8" s="2">
        <v>6</v>
      </c>
      <c r="B8" s="3" t="s">
        <v>21</v>
      </c>
      <c r="C8" s="4">
        <v>60000</v>
      </c>
      <c r="D8" s="2" t="s">
        <v>22</v>
      </c>
      <c r="E8" s="3" t="s">
        <v>23</v>
      </c>
    </row>
    <row r="9" spans="1:5" ht="14.5">
      <c r="A9" s="5" t="s">
        <v>24</v>
      </c>
      <c r="B9" s="5" t="s">
        <v>25</v>
      </c>
      <c r="C9" s="6">
        <f>SUM(C3:C8)</f>
        <v>114809</v>
      </c>
      <c r="D9" s="5" t="s">
        <v>26</v>
      </c>
      <c r="E9" s="5" t="s">
        <v>26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2" topLeftCell="A3" activePane="bottomLeft" state="frozen"/>
      <selection pane="bottomLeft"/>
    </sheetView>
  </sheetViews>
  <sheetFormatPr defaultRowHeight="14"/>
  <cols>
    <col min="1" max="1" width="18" customWidth="1"/>
    <col min="2" max="2" width="14" customWidth="1"/>
    <col min="3" max="3" width="10" customWidth="1"/>
    <col min="4" max="4" width="12" customWidth="1"/>
    <col min="5" max="5" width="10" customWidth="1"/>
    <col min="6" max="6" width="56" customWidth="1"/>
  </cols>
  <sheetData>
    <row r="1" spans="1:6" ht="28" customHeight="1">
      <c r="A1" s="10" t="s">
        <v>27</v>
      </c>
      <c r="B1" s="11"/>
      <c r="C1" s="11"/>
      <c r="D1" s="11"/>
      <c r="E1" s="11"/>
      <c r="F1" s="11"/>
    </row>
    <row r="2" spans="1:6" ht="26" customHeight="1">
      <c r="A2" s="1" t="s">
        <v>2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 ht="26" customHeight="1">
      <c r="A3" s="3" t="s">
        <v>6</v>
      </c>
      <c r="B3" s="2" t="s">
        <v>33</v>
      </c>
      <c r="C3" s="4">
        <v>84</v>
      </c>
      <c r="D3" s="4">
        <v>1000</v>
      </c>
      <c r="E3" s="7">
        <f t="shared" ref="E3:E10" si="0">IF(OR(D3="",D3=0),"",C3/D3)</f>
        <v>8.4000000000000005E-2</v>
      </c>
      <c r="F3" s="3" t="s">
        <v>34</v>
      </c>
    </row>
    <row r="4" spans="1:6" ht="26" customHeight="1">
      <c r="A4" s="3" t="s">
        <v>6</v>
      </c>
      <c r="B4" s="2" t="s">
        <v>35</v>
      </c>
      <c r="C4" s="4">
        <v>51</v>
      </c>
      <c r="D4" s="4">
        <v>1000</v>
      </c>
      <c r="E4" s="7">
        <f t="shared" si="0"/>
        <v>5.0999999999999997E-2</v>
      </c>
      <c r="F4" s="3" t="s">
        <v>36</v>
      </c>
    </row>
    <row r="5" spans="1:6" ht="26" customHeight="1">
      <c r="A5" s="3" t="s">
        <v>6</v>
      </c>
      <c r="B5" s="2" t="s">
        <v>37</v>
      </c>
      <c r="C5" s="4">
        <v>14</v>
      </c>
      <c r="D5" s="4">
        <v>1000</v>
      </c>
      <c r="E5" s="7">
        <f t="shared" si="0"/>
        <v>1.4E-2</v>
      </c>
      <c r="F5" s="3" t="s">
        <v>38</v>
      </c>
    </row>
    <row r="6" spans="1:6" ht="26" customHeight="1">
      <c r="A6" s="3" t="s">
        <v>6</v>
      </c>
      <c r="B6" s="2" t="s">
        <v>39</v>
      </c>
      <c r="C6" s="4">
        <v>193</v>
      </c>
      <c r="D6" s="4">
        <v>1000</v>
      </c>
      <c r="E6" s="7">
        <f t="shared" si="0"/>
        <v>0.193</v>
      </c>
      <c r="F6" s="3" t="s">
        <v>40</v>
      </c>
    </row>
    <row r="7" spans="1:6" ht="26" customHeight="1">
      <c r="A7" s="3" t="s">
        <v>9</v>
      </c>
      <c r="B7" s="2" t="s">
        <v>41</v>
      </c>
      <c r="C7" s="4">
        <v>11</v>
      </c>
      <c r="D7" s="4">
        <v>600</v>
      </c>
      <c r="E7" s="7">
        <f t="shared" si="0"/>
        <v>1.8333333333333333E-2</v>
      </c>
      <c r="F7" s="3" t="s">
        <v>42</v>
      </c>
    </row>
    <row r="8" spans="1:6" ht="26" customHeight="1">
      <c r="A8" s="3" t="s">
        <v>15</v>
      </c>
      <c r="B8" s="2" t="s">
        <v>43</v>
      </c>
      <c r="C8" s="4">
        <v>0</v>
      </c>
      <c r="D8" s="4">
        <v>15600</v>
      </c>
      <c r="E8" s="7">
        <f t="shared" si="0"/>
        <v>0</v>
      </c>
      <c r="F8" s="3" t="s">
        <v>44</v>
      </c>
    </row>
    <row r="9" spans="1:6" ht="26" customHeight="1">
      <c r="A9" s="3" t="s">
        <v>18</v>
      </c>
      <c r="B9" s="2" t="s">
        <v>43</v>
      </c>
      <c r="C9" s="4">
        <v>0</v>
      </c>
      <c r="D9" s="4">
        <v>37549</v>
      </c>
      <c r="E9" s="7">
        <f t="shared" si="0"/>
        <v>0</v>
      </c>
      <c r="F9" s="3" t="s">
        <v>44</v>
      </c>
    </row>
    <row r="10" spans="1:6" ht="26" customHeight="1">
      <c r="A10" s="3" t="s">
        <v>21</v>
      </c>
      <c r="B10" s="2" t="s">
        <v>43</v>
      </c>
      <c r="C10" s="4">
        <v>0</v>
      </c>
      <c r="D10" s="4">
        <v>60000</v>
      </c>
      <c r="E10" s="7">
        <f t="shared" si="0"/>
        <v>0</v>
      </c>
      <c r="F10" s="3" t="s">
        <v>44</v>
      </c>
    </row>
  </sheetData>
  <autoFilter ref="A2:F10" xr:uid="{00000000-0009-0000-0000-000001000000}"/>
  <mergeCells count="1">
    <mergeCell ref="A1:F1"/>
  </mergeCells>
  <phoneticPr fontId="7" type="noConversion"/>
  <conditionalFormatting sqref="E3:E10">
    <cfRule type="cellIs" dxfId="5" priority="1" operator="greaterThan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4"/>
  <cols>
    <col min="1" max="1" width="24" customWidth="1"/>
    <col min="2" max="2" width="12" customWidth="1"/>
    <col min="3" max="3" width="40" customWidth="1"/>
    <col min="4" max="4" width="30" customWidth="1"/>
    <col min="5" max="5" width="12" customWidth="1"/>
  </cols>
  <sheetData>
    <row r="1" spans="1:5" ht="28" customHeight="1">
      <c r="A1" s="10" t="s">
        <v>45</v>
      </c>
      <c r="B1" s="11"/>
      <c r="C1" s="11"/>
      <c r="D1" s="11"/>
      <c r="E1" s="11"/>
    </row>
    <row r="2" spans="1:5" ht="26" customHeight="1">
      <c r="A2" s="1" t="s">
        <v>2</v>
      </c>
      <c r="B2" s="1" t="s">
        <v>46</v>
      </c>
      <c r="C2" s="1" t="s">
        <v>47</v>
      </c>
      <c r="D2" s="1" t="s">
        <v>48</v>
      </c>
      <c r="E2" s="1" t="s">
        <v>49</v>
      </c>
    </row>
    <row r="3" spans="1:5" ht="14.5">
      <c r="A3" s="3" t="s">
        <v>15</v>
      </c>
      <c r="B3" s="4">
        <v>15600</v>
      </c>
      <c r="C3" s="4">
        <v>15000</v>
      </c>
      <c r="D3" s="4">
        <f t="shared" ref="D3:D8" si="0">B3-C3</f>
        <v>600</v>
      </c>
      <c r="E3" s="7">
        <f t="shared" ref="E3:E9" si="1">IF(OR(B3="",B3=0),"",D3/B3)</f>
        <v>3.8461538461538464E-2</v>
      </c>
    </row>
    <row r="4" spans="1:5" ht="14.5">
      <c r="A4" s="3" t="s">
        <v>6</v>
      </c>
      <c r="B4" s="4">
        <v>1000</v>
      </c>
      <c r="C4" s="4">
        <v>1000</v>
      </c>
      <c r="D4" s="4">
        <f t="shared" si="0"/>
        <v>0</v>
      </c>
      <c r="E4" s="7">
        <f t="shared" si="1"/>
        <v>0</v>
      </c>
    </row>
    <row r="5" spans="1:5" ht="14.5">
      <c r="A5" s="3" t="s">
        <v>9</v>
      </c>
      <c r="B5" s="4">
        <v>600</v>
      </c>
      <c r="C5" s="4">
        <v>600</v>
      </c>
      <c r="D5" s="4">
        <f t="shared" si="0"/>
        <v>0</v>
      </c>
      <c r="E5" s="7">
        <f t="shared" si="1"/>
        <v>0</v>
      </c>
    </row>
    <row r="6" spans="1:5" ht="14.5">
      <c r="A6" s="3" t="s">
        <v>12</v>
      </c>
      <c r="B6" s="4">
        <v>60</v>
      </c>
      <c r="C6" s="4">
        <v>60</v>
      </c>
      <c r="D6" s="4">
        <f t="shared" si="0"/>
        <v>0</v>
      </c>
      <c r="E6" s="7">
        <f t="shared" si="1"/>
        <v>0</v>
      </c>
    </row>
    <row r="7" spans="1:5" ht="14.5">
      <c r="A7" s="3" t="s">
        <v>18</v>
      </c>
      <c r="B7" s="4">
        <v>37549</v>
      </c>
      <c r="C7" s="4">
        <v>37549</v>
      </c>
      <c r="D7" s="4">
        <f t="shared" si="0"/>
        <v>0</v>
      </c>
      <c r="E7" s="7">
        <f t="shared" si="1"/>
        <v>0</v>
      </c>
    </row>
    <row r="8" spans="1:5" ht="14.5">
      <c r="A8" s="3" t="s">
        <v>21</v>
      </c>
      <c r="B8" s="4">
        <v>60000</v>
      </c>
      <c r="C8" s="4">
        <v>60000</v>
      </c>
      <c r="D8" s="4">
        <f t="shared" si="0"/>
        <v>0</v>
      </c>
      <c r="E8" s="7">
        <f t="shared" si="1"/>
        <v>0</v>
      </c>
    </row>
    <row r="9" spans="1:5" ht="14.5">
      <c r="A9" s="5" t="s">
        <v>24</v>
      </c>
      <c r="B9" s="6">
        <f>SUM(B3:B8)</f>
        <v>114809</v>
      </c>
      <c r="C9" s="6">
        <f>SUM(C3:C8)</f>
        <v>114209</v>
      </c>
      <c r="D9" s="6">
        <f>SUM(D3:D8)</f>
        <v>600</v>
      </c>
      <c r="E9" s="8">
        <f t="shared" si="1"/>
        <v>5.2260711268280365E-3</v>
      </c>
    </row>
    <row r="11" spans="1:5" ht="22" customHeight="1">
      <c r="A11" s="12" t="s">
        <v>50</v>
      </c>
      <c r="B11" s="11"/>
      <c r="C11" s="11"/>
      <c r="D11" s="11"/>
    </row>
    <row r="12" spans="1:5" ht="26" customHeight="1">
      <c r="A12" s="1" t="s">
        <v>51</v>
      </c>
      <c r="B12" s="1" t="s">
        <v>52</v>
      </c>
      <c r="C12" s="1" t="s">
        <v>53</v>
      </c>
      <c r="D12" s="1" t="s">
        <v>54</v>
      </c>
    </row>
    <row r="13" spans="1:5" ht="24" customHeight="1">
      <c r="A13" s="3" t="s">
        <v>55</v>
      </c>
      <c r="B13" s="4">
        <v>388</v>
      </c>
      <c r="C13" s="3" t="s">
        <v>56</v>
      </c>
      <c r="D13" s="3" t="s">
        <v>57</v>
      </c>
    </row>
    <row r="14" spans="1:5" ht="24" customHeight="1">
      <c r="A14" s="3" t="s">
        <v>58</v>
      </c>
      <c r="B14" s="4">
        <v>198</v>
      </c>
      <c r="C14" s="3" t="s">
        <v>59</v>
      </c>
      <c r="D14" s="3" t="s">
        <v>60</v>
      </c>
    </row>
    <row r="15" spans="1:5" ht="14.5">
      <c r="A15" s="5" t="s">
        <v>24</v>
      </c>
      <c r="B15" s="6">
        <f>SUM(B13:B14)</f>
        <v>586</v>
      </c>
      <c r="C15" s="9" t="s">
        <v>61</v>
      </c>
      <c r="D15" s="5" t="s">
        <v>26</v>
      </c>
    </row>
  </sheetData>
  <mergeCells count="2">
    <mergeCell ref="A1:E1"/>
    <mergeCell ref="A11:D11"/>
  </mergeCells>
  <phoneticPr fontId="7" type="noConversion"/>
  <conditionalFormatting sqref="D3:D8">
    <cfRule type="cellIs" dxfId="4" priority="1" operator="greater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0"/>
  <sheetViews>
    <sheetView workbookViewId="0">
      <pane ySplit="2" topLeftCell="A3" activePane="bottomLeft" state="frozen"/>
      <selection pane="bottomLeft"/>
    </sheetView>
  </sheetViews>
  <sheetFormatPr defaultRowHeight="14"/>
  <cols>
    <col min="1" max="1" width="30" customWidth="1"/>
    <col min="2" max="2" width="16" customWidth="1"/>
    <col min="3" max="3" width="12" customWidth="1"/>
    <col min="4" max="4" width="10" customWidth="1"/>
    <col min="5" max="5" width="16" customWidth="1"/>
  </cols>
  <sheetData>
    <row r="1" spans="1:5" ht="28" customHeight="1">
      <c r="A1" s="10" t="s">
        <v>62</v>
      </c>
      <c r="B1" s="11"/>
      <c r="C1" s="11"/>
      <c r="D1" s="11"/>
      <c r="E1" s="11"/>
    </row>
    <row r="2" spans="1:5" ht="26" customHeight="1">
      <c r="A2" s="1" t="s">
        <v>28</v>
      </c>
      <c r="B2" s="1" t="s">
        <v>63</v>
      </c>
      <c r="C2" s="1" t="s">
        <v>64</v>
      </c>
      <c r="D2" s="1" t="s">
        <v>65</v>
      </c>
      <c r="E2" s="1" t="s">
        <v>66</v>
      </c>
    </row>
    <row r="3" spans="1:5" ht="14.5">
      <c r="A3" s="3" t="s">
        <v>67</v>
      </c>
      <c r="B3" s="2" t="s">
        <v>68</v>
      </c>
      <c r="C3" s="4">
        <v>5498</v>
      </c>
      <c r="D3" s="2" t="s">
        <v>69</v>
      </c>
      <c r="E3" s="2" t="s">
        <v>68</v>
      </c>
    </row>
    <row r="4" spans="1:5" ht="14.5">
      <c r="A4" s="3" t="s">
        <v>67</v>
      </c>
      <c r="B4" s="2" t="s">
        <v>70</v>
      </c>
      <c r="C4" s="4">
        <v>4102</v>
      </c>
      <c r="D4" s="2" t="s">
        <v>69</v>
      </c>
      <c r="E4" s="2" t="s">
        <v>70</v>
      </c>
    </row>
    <row r="5" spans="1:5" ht="14.5">
      <c r="A5" s="3" t="s">
        <v>67</v>
      </c>
      <c r="B5" s="2" t="s">
        <v>71</v>
      </c>
      <c r="C5" s="4">
        <v>1990</v>
      </c>
      <c r="D5" s="2" t="s">
        <v>69</v>
      </c>
      <c r="E5" s="2" t="s">
        <v>71</v>
      </c>
    </row>
    <row r="6" spans="1:5" ht="14.5">
      <c r="A6" s="3" t="s">
        <v>67</v>
      </c>
      <c r="B6" s="2" t="s">
        <v>72</v>
      </c>
      <c r="C6" s="4">
        <v>1800</v>
      </c>
      <c r="D6" s="2" t="s">
        <v>69</v>
      </c>
      <c r="E6" s="2" t="s">
        <v>72</v>
      </c>
    </row>
    <row r="7" spans="1:5" ht="14.5">
      <c r="A7" s="3" t="s">
        <v>67</v>
      </c>
      <c r="B7" s="2" t="s">
        <v>73</v>
      </c>
      <c r="C7" s="4">
        <v>835</v>
      </c>
      <c r="D7" s="2" t="s">
        <v>69</v>
      </c>
      <c r="E7" s="2" t="s">
        <v>73</v>
      </c>
    </row>
    <row r="8" spans="1:5" ht="14.5">
      <c r="A8" s="3" t="s">
        <v>67</v>
      </c>
      <c r="B8" s="2" t="s">
        <v>74</v>
      </c>
      <c r="C8" s="4">
        <v>211</v>
      </c>
      <c r="D8" s="2" t="s">
        <v>75</v>
      </c>
      <c r="E8" s="2" t="s">
        <v>71</v>
      </c>
    </row>
    <row r="9" spans="1:5" ht="14.5">
      <c r="A9" s="3" t="s">
        <v>67</v>
      </c>
      <c r="B9" s="2" t="s">
        <v>76</v>
      </c>
      <c r="C9" s="4">
        <v>193</v>
      </c>
      <c r="D9" s="2" t="s">
        <v>75</v>
      </c>
      <c r="E9" s="2" t="s">
        <v>70</v>
      </c>
    </row>
    <row r="10" spans="1:5" ht="14.5">
      <c r="A10" s="3" t="s">
        <v>67</v>
      </c>
      <c r="B10" s="2" t="s">
        <v>77</v>
      </c>
      <c r="C10" s="4">
        <v>202</v>
      </c>
      <c r="D10" s="2" t="s">
        <v>75</v>
      </c>
      <c r="E10" s="2" t="s">
        <v>68</v>
      </c>
    </row>
    <row r="11" spans="1:5" ht="14.5">
      <c r="A11" s="3" t="s">
        <v>67</v>
      </c>
      <c r="B11" s="2" t="s">
        <v>78</v>
      </c>
      <c r="C11" s="4">
        <v>182</v>
      </c>
      <c r="D11" s="2" t="s">
        <v>75</v>
      </c>
      <c r="E11" s="2" t="s">
        <v>72</v>
      </c>
    </row>
    <row r="12" spans="1:5" ht="14.5">
      <c r="A12" s="3" t="s">
        <v>67</v>
      </c>
      <c r="B12" s="2" t="s">
        <v>79</v>
      </c>
      <c r="C12" s="4">
        <v>197</v>
      </c>
      <c r="D12" s="2" t="s">
        <v>75</v>
      </c>
      <c r="E12" s="2" t="s">
        <v>70</v>
      </c>
    </row>
    <row r="13" spans="1:5" ht="14.5">
      <c r="A13" s="3" t="s">
        <v>67</v>
      </c>
      <c r="B13" s="2" t="s">
        <v>80</v>
      </c>
      <c r="C13" s="4">
        <v>192</v>
      </c>
      <c r="D13" s="2" t="s">
        <v>75</v>
      </c>
      <c r="E13" s="2" t="s">
        <v>68</v>
      </c>
    </row>
    <row r="14" spans="1:5" ht="14.5">
      <c r="A14" s="3" t="s">
        <v>67</v>
      </c>
      <c r="B14" s="2" t="s">
        <v>81</v>
      </c>
      <c r="C14" s="4">
        <v>198</v>
      </c>
      <c r="D14" s="2" t="s">
        <v>75</v>
      </c>
      <c r="E14" s="2" t="s">
        <v>72</v>
      </c>
    </row>
    <row r="15" spans="1:5" ht="14.5">
      <c r="A15" s="3" t="s">
        <v>82</v>
      </c>
      <c r="B15" s="2" t="s">
        <v>83</v>
      </c>
      <c r="C15" s="4">
        <v>3944</v>
      </c>
      <c r="D15" s="2" t="s">
        <v>69</v>
      </c>
      <c r="E15" s="2" t="s">
        <v>83</v>
      </c>
    </row>
    <row r="16" spans="1:5" ht="14.5">
      <c r="A16" s="3" t="s">
        <v>82</v>
      </c>
      <c r="B16" s="2" t="s">
        <v>84</v>
      </c>
      <c r="C16" s="4">
        <v>3711</v>
      </c>
      <c r="D16" s="2" t="s">
        <v>69</v>
      </c>
      <c r="E16" s="2" t="s">
        <v>84</v>
      </c>
    </row>
    <row r="17" spans="1:5" ht="14.5">
      <c r="A17" s="3" t="s">
        <v>82</v>
      </c>
      <c r="B17" s="2" t="s">
        <v>85</v>
      </c>
      <c r="C17" s="4">
        <v>3693</v>
      </c>
      <c r="D17" s="2" t="s">
        <v>69</v>
      </c>
      <c r="E17" s="2" t="s">
        <v>85</v>
      </c>
    </row>
    <row r="18" spans="1:5" ht="14.5">
      <c r="A18" s="3" t="s">
        <v>82</v>
      </c>
      <c r="B18" s="2" t="s">
        <v>86</v>
      </c>
      <c r="C18" s="4">
        <v>3601</v>
      </c>
      <c r="D18" s="2" t="s">
        <v>69</v>
      </c>
      <c r="E18" s="2" t="s">
        <v>86</v>
      </c>
    </row>
    <row r="19" spans="1:5" ht="14.5">
      <c r="A19" s="3" t="s">
        <v>82</v>
      </c>
      <c r="B19" s="2" t="s">
        <v>87</v>
      </c>
      <c r="C19" s="4">
        <v>227</v>
      </c>
      <c r="D19" s="2" t="s">
        <v>75</v>
      </c>
      <c r="E19" s="2" t="s">
        <v>84</v>
      </c>
    </row>
    <row r="20" spans="1:5" ht="14.5">
      <c r="A20" s="3" t="s">
        <v>82</v>
      </c>
      <c r="B20" s="2" t="s">
        <v>88</v>
      </c>
      <c r="C20" s="4">
        <v>218</v>
      </c>
      <c r="D20" s="2" t="s">
        <v>75</v>
      </c>
      <c r="E20" s="2" t="s">
        <v>84</v>
      </c>
    </row>
    <row r="21" spans="1:5" ht="14.5">
      <c r="A21" s="3" t="s">
        <v>82</v>
      </c>
      <c r="B21" s="2" t="s">
        <v>89</v>
      </c>
      <c r="C21" s="4">
        <v>206</v>
      </c>
      <c r="D21" s="2" t="s">
        <v>75</v>
      </c>
      <c r="E21" s="2" t="s">
        <v>83</v>
      </c>
    </row>
    <row r="22" spans="1:5" ht="14.5">
      <c r="A22" s="3" t="s">
        <v>90</v>
      </c>
      <c r="B22" s="2" t="s">
        <v>91</v>
      </c>
      <c r="C22" s="4">
        <v>3862</v>
      </c>
      <c r="D22" s="2" t="s">
        <v>69</v>
      </c>
      <c r="E22" s="2" t="s">
        <v>91</v>
      </c>
    </row>
    <row r="23" spans="1:5" ht="14.5">
      <c r="A23" s="3" t="s">
        <v>90</v>
      </c>
      <c r="B23" s="2" t="s">
        <v>92</v>
      </c>
      <c r="C23" s="4">
        <v>3854</v>
      </c>
      <c r="D23" s="2" t="s">
        <v>69</v>
      </c>
      <c r="E23" s="2" t="s">
        <v>92</v>
      </c>
    </row>
    <row r="24" spans="1:5" ht="14.5">
      <c r="A24" s="3" t="s">
        <v>90</v>
      </c>
      <c r="B24" s="2" t="s">
        <v>93</v>
      </c>
      <c r="C24" s="4">
        <v>3845</v>
      </c>
      <c r="D24" s="2" t="s">
        <v>69</v>
      </c>
      <c r="E24" s="2" t="s">
        <v>93</v>
      </c>
    </row>
    <row r="25" spans="1:5" ht="14.5">
      <c r="A25" s="3" t="s">
        <v>90</v>
      </c>
      <c r="B25" s="2" t="s">
        <v>94</v>
      </c>
      <c r="C25" s="4">
        <v>3729</v>
      </c>
      <c r="D25" s="2" t="s">
        <v>69</v>
      </c>
      <c r="E25" s="2" t="s">
        <v>94</v>
      </c>
    </row>
    <row r="26" spans="1:5" ht="14.5">
      <c r="A26" s="3" t="s">
        <v>90</v>
      </c>
      <c r="B26" s="2" t="s">
        <v>95</v>
      </c>
      <c r="C26" s="4">
        <v>170</v>
      </c>
      <c r="D26" s="2" t="s">
        <v>75</v>
      </c>
      <c r="E26" s="2" t="s">
        <v>92</v>
      </c>
    </row>
    <row r="27" spans="1:5" ht="14.5">
      <c r="A27" s="3" t="s">
        <v>90</v>
      </c>
      <c r="B27" s="2" t="s">
        <v>96</v>
      </c>
      <c r="C27" s="4">
        <v>140</v>
      </c>
      <c r="D27" s="2" t="s">
        <v>75</v>
      </c>
      <c r="E27" s="2" t="s">
        <v>94</v>
      </c>
    </row>
    <row r="28" spans="1:5" ht="14.5">
      <c r="A28" s="3" t="s">
        <v>97</v>
      </c>
      <c r="B28" s="2" t="s">
        <v>98</v>
      </c>
      <c r="C28" s="4">
        <v>212</v>
      </c>
      <c r="D28" s="2" t="s">
        <v>69</v>
      </c>
      <c r="E28" s="2" t="s">
        <v>98</v>
      </c>
    </row>
    <row r="29" spans="1:5" ht="14.5">
      <c r="A29" s="3" t="s">
        <v>97</v>
      </c>
      <c r="B29" s="2" t="s">
        <v>99</v>
      </c>
      <c r="C29" s="4">
        <v>182</v>
      </c>
      <c r="D29" s="2" t="s">
        <v>69</v>
      </c>
      <c r="E29" s="2" t="s">
        <v>99</v>
      </c>
    </row>
    <row r="30" spans="1:5" ht="14.5">
      <c r="A30" s="3" t="s">
        <v>97</v>
      </c>
      <c r="B30" s="2" t="s">
        <v>100</v>
      </c>
      <c r="C30" s="4">
        <v>110</v>
      </c>
      <c r="D30" s="2" t="s">
        <v>75</v>
      </c>
      <c r="E30" s="2" t="s">
        <v>99</v>
      </c>
    </row>
    <row r="31" spans="1:5" ht="14.5">
      <c r="A31" s="3" t="s">
        <v>97</v>
      </c>
      <c r="B31" s="2" t="s">
        <v>101</v>
      </c>
      <c r="C31" s="4">
        <v>108</v>
      </c>
      <c r="D31" s="2" t="s">
        <v>75</v>
      </c>
      <c r="E31" s="2" t="s">
        <v>98</v>
      </c>
    </row>
    <row r="32" spans="1:5" ht="14.5">
      <c r="A32" s="3" t="s">
        <v>97</v>
      </c>
      <c r="B32" s="2" t="s">
        <v>102</v>
      </c>
      <c r="C32" s="4">
        <v>109</v>
      </c>
      <c r="D32" s="2" t="s">
        <v>75</v>
      </c>
      <c r="E32" s="2" t="s">
        <v>98</v>
      </c>
    </row>
    <row r="33" spans="1:5" ht="14.5">
      <c r="A33" s="3" t="s">
        <v>97</v>
      </c>
      <c r="B33" s="2" t="s">
        <v>103</v>
      </c>
      <c r="C33" s="4">
        <v>87</v>
      </c>
      <c r="D33" s="2" t="s">
        <v>75</v>
      </c>
      <c r="E33" s="2" t="s">
        <v>99</v>
      </c>
    </row>
    <row r="34" spans="1:5" ht="14.5">
      <c r="A34" s="3" t="s">
        <v>97</v>
      </c>
      <c r="B34" s="2" t="s">
        <v>104</v>
      </c>
      <c r="C34" s="4">
        <v>108</v>
      </c>
      <c r="D34" s="2" t="s">
        <v>69</v>
      </c>
      <c r="E34" s="2" t="s">
        <v>104</v>
      </c>
    </row>
    <row r="35" spans="1:5" ht="14.5">
      <c r="A35" s="3" t="s">
        <v>97</v>
      </c>
      <c r="B35" s="2" t="s">
        <v>105</v>
      </c>
      <c r="C35" s="4">
        <v>84</v>
      </c>
      <c r="D35" s="2" t="s">
        <v>75</v>
      </c>
      <c r="E35" s="2" t="s">
        <v>104</v>
      </c>
    </row>
    <row r="36" spans="1:5" ht="14.5">
      <c r="A36" s="3" t="s">
        <v>106</v>
      </c>
      <c r="B36" s="2" t="s">
        <v>107</v>
      </c>
      <c r="C36" s="4">
        <v>232</v>
      </c>
      <c r="D36" s="2" t="s">
        <v>69</v>
      </c>
      <c r="E36" s="2" t="s">
        <v>107</v>
      </c>
    </row>
    <row r="37" spans="1:5" ht="14.5">
      <c r="A37" s="3" t="s">
        <v>106</v>
      </c>
      <c r="B37" s="2" t="s">
        <v>108</v>
      </c>
      <c r="C37" s="4">
        <v>251</v>
      </c>
      <c r="D37" s="2" t="s">
        <v>69</v>
      </c>
      <c r="E37" s="2" t="s">
        <v>108</v>
      </c>
    </row>
    <row r="38" spans="1:5" ht="14.5">
      <c r="A38" s="3" t="s">
        <v>106</v>
      </c>
      <c r="B38" s="2" t="s">
        <v>109</v>
      </c>
      <c r="C38" s="4">
        <v>201</v>
      </c>
      <c r="D38" s="2" t="s">
        <v>69</v>
      </c>
      <c r="E38" s="2" t="s">
        <v>109</v>
      </c>
    </row>
    <row r="39" spans="1:5" ht="14.5">
      <c r="A39" s="3" t="s">
        <v>106</v>
      </c>
      <c r="B39" s="2" t="s">
        <v>110</v>
      </c>
      <c r="C39" s="4">
        <v>208</v>
      </c>
      <c r="D39" s="2" t="s">
        <v>69</v>
      </c>
      <c r="E39" s="2" t="s">
        <v>110</v>
      </c>
    </row>
    <row r="40" spans="1:5" ht="14.5">
      <c r="A40" s="3" t="s">
        <v>106</v>
      </c>
      <c r="B40" s="2" t="s">
        <v>111</v>
      </c>
      <c r="C40" s="4">
        <v>12</v>
      </c>
      <c r="D40" s="2" t="s">
        <v>75</v>
      </c>
      <c r="E40" s="2" t="s">
        <v>108</v>
      </c>
    </row>
    <row r="41" spans="1:5" ht="14.5">
      <c r="A41" s="3" t="s">
        <v>106</v>
      </c>
      <c r="B41" s="2" t="s">
        <v>112</v>
      </c>
      <c r="C41" s="4">
        <v>16</v>
      </c>
      <c r="D41" s="2" t="s">
        <v>75</v>
      </c>
      <c r="E41" s="2" t="s">
        <v>109</v>
      </c>
    </row>
    <row r="42" spans="1:5" ht="14.5">
      <c r="A42" s="3" t="s">
        <v>106</v>
      </c>
      <c r="B42" s="2" t="s">
        <v>113</v>
      </c>
      <c r="C42" s="4">
        <v>21</v>
      </c>
      <c r="D42" s="2" t="s">
        <v>75</v>
      </c>
      <c r="E42" s="2" t="s">
        <v>107</v>
      </c>
    </row>
    <row r="43" spans="1:5" ht="14.5">
      <c r="A43" s="3" t="s">
        <v>106</v>
      </c>
      <c r="B43" s="2" t="s">
        <v>114</v>
      </c>
      <c r="C43" s="4">
        <v>11</v>
      </c>
      <c r="D43" s="2" t="s">
        <v>75</v>
      </c>
      <c r="E43" s="2" t="s">
        <v>110</v>
      </c>
    </row>
    <row r="44" spans="1:5" ht="14.5">
      <c r="A44" s="3" t="s">
        <v>106</v>
      </c>
      <c r="B44" s="2" t="s">
        <v>115</v>
      </c>
      <c r="C44" s="4">
        <v>10</v>
      </c>
      <c r="D44" s="2" t="s">
        <v>75</v>
      </c>
      <c r="E44" s="2" t="s">
        <v>108</v>
      </c>
    </row>
    <row r="45" spans="1:5" ht="14.5">
      <c r="A45" s="3" t="s">
        <v>106</v>
      </c>
      <c r="B45" s="2" t="s">
        <v>116</v>
      </c>
      <c r="C45" s="4">
        <v>13</v>
      </c>
      <c r="D45" s="2" t="s">
        <v>75</v>
      </c>
      <c r="E45" s="2" t="s">
        <v>109</v>
      </c>
    </row>
    <row r="46" spans="1:5" ht="14.5">
      <c r="A46" s="3" t="s">
        <v>106</v>
      </c>
      <c r="B46" s="2" t="s">
        <v>117</v>
      </c>
      <c r="C46" s="4">
        <v>11</v>
      </c>
      <c r="D46" s="2" t="s">
        <v>75</v>
      </c>
      <c r="E46" s="2" t="s">
        <v>110</v>
      </c>
    </row>
    <row r="47" spans="1:5" ht="14.5">
      <c r="A47" s="3" t="s">
        <v>106</v>
      </c>
      <c r="B47" s="2" t="s">
        <v>105</v>
      </c>
      <c r="C47" s="4">
        <v>14</v>
      </c>
      <c r="D47" s="2" t="s">
        <v>75</v>
      </c>
      <c r="E47" s="2" t="s">
        <v>110</v>
      </c>
    </row>
    <row r="48" spans="1:5" ht="14.5">
      <c r="A48" s="3" t="s">
        <v>118</v>
      </c>
      <c r="B48" s="2" t="s">
        <v>119</v>
      </c>
      <c r="C48" s="4">
        <v>32945</v>
      </c>
      <c r="D48" s="2" t="s">
        <v>69</v>
      </c>
      <c r="E48" s="2" t="s">
        <v>120</v>
      </c>
    </row>
    <row r="49" spans="1:5" ht="14.5">
      <c r="A49" s="3" t="s">
        <v>118</v>
      </c>
      <c r="B49" s="2" t="s">
        <v>121</v>
      </c>
      <c r="C49" s="4">
        <v>11393</v>
      </c>
      <c r="D49" s="2" t="s">
        <v>69</v>
      </c>
      <c r="E49" s="2" t="s">
        <v>122</v>
      </c>
    </row>
    <row r="50" spans="1:5" ht="14.5">
      <c r="A50" s="3" t="s">
        <v>118</v>
      </c>
      <c r="B50" s="2" t="s">
        <v>123</v>
      </c>
      <c r="C50" s="4">
        <v>7021</v>
      </c>
      <c r="D50" s="2" t="s">
        <v>69</v>
      </c>
      <c r="E50" s="2" t="s">
        <v>124</v>
      </c>
    </row>
    <row r="51" spans="1:5" ht="14.5">
      <c r="A51" s="3" t="s">
        <v>118</v>
      </c>
      <c r="B51" s="2" t="s">
        <v>125</v>
      </c>
      <c r="C51" s="4">
        <v>4969</v>
      </c>
      <c r="D51" s="2" t="s">
        <v>69</v>
      </c>
      <c r="E51" s="2" t="s">
        <v>126</v>
      </c>
    </row>
    <row r="52" spans="1:5" ht="14.5">
      <c r="A52" s="3" t="s">
        <v>118</v>
      </c>
      <c r="B52" s="2" t="s">
        <v>127</v>
      </c>
      <c r="C52" s="4">
        <v>619</v>
      </c>
      <c r="D52" s="2" t="s">
        <v>75</v>
      </c>
      <c r="E52" s="2" t="s">
        <v>123</v>
      </c>
    </row>
    <row r="53" spans="1:5" ht="14.5">
      <c r="A53" s="3" t="s">
        <v>118</v>
      </c>
      <c r="B53" s="2" t="s">
        <v>128</v>
      </c>
      <c r="C53" s="4">
        <v>611</v>
      </c>
      <c r="D53" s="2" t="s">
        <v>75</v>
      </c>
      <c r="E53" s="2" t="s">
        <v>119</v>
      </c>
    </row>
    <row r="54" spans="1:5" ht="14.5">
      <c r="A54" s="3" t="s">
        <v>118</v>
      </c>
      <c r="B54" s="2" t="s">
        <v>129</v>
      </c>
      <c r="C54" s="4">
        <v>604</v>
      </c>
      <c r="D54" s="2" t="s">
        <v>75</v>
      </c>
      <c r="E54" s="2" t="s">
        <v>119</v>
      </c>
    </row>
    <row r="55" spans="1:5" ht="14.5">
      <c r="A55" s="3" t="s">
        <v>118</v>
      </c>
      <c r="B55" s="2" t="s">
        <v>130</v>
      </c>
      <c r="C55" s="4">
        <v>646</v>
      </c>
      <c r="D55" s="2" t="s">
        <v>75</v>
      </c>
      <c r="E55" s="2" t="s">
        <v>123</v>
      </c>
    </row>
    <row r="56" spans="1:5" ht="14.5">
      <c r="A56" s="3" t="s">
        <v>118</v>
      </c>
      <c r="B56" s="2" t="s">
        <v>131</v>
      </c>
      <c r="C56" s="4">
        <v>616</v>
      </c>
      <c r="D56" s="2" t="s">
        <v>75</v>
      </c>
      <c r="E56" s="2" t="s">
        <v>125</v>
      </c>
    </row>
    <row r="57" spans="1:5" ht="14.5">
      <c r="A57" s="3" t="s">
        <v>118</v>
      </c>
      <c r="B57" s="2" t="s">
        <v>132</v>
      </c>
      <c r="C57" s="4">
        <v>576</v>
      </c>
      <c r="D57" s="2" t="s">
        <v>75</v>
      </c>
      <c r="E57" s="2" t="s">
        <v>121</v>
      </c>
    </row>
    <row r="59" spans="1:5" ht="22" customHeight="1">
      <c r="A59" s="12" t="s">
        <v>133</v>
      </c>
      <c r="B59" s="11"/>
      <c r="C59" s="11"/>
      <c r="D59" s="11"/>
      <c r="E59" s="11"/>
    </row>
    <row r="60" spans="1:5" ht="32" customHeight="1">
      <c r="A60" s="13" t="s">
        <v>134</v>
      </c>
      <c r="B60" s="11"/>
      <c r="C60" s="11"/>
      <c r="D60" s="11"/>
      <c r="E60" s="11"/>
    </row>
  </sheetData>
  <autoFilter ref="A2:E57" xr:uid="{00000000-0009-0000-0000-000003000000}"/>
  <mergeCells count="3">
    <mergeCell ref="A1:E1"/>
    <mergeCell ref="A59:E59"/>
    <mergeCell ref="A60:E60"/>
  </mergeCells>
  <phoneticPr fontId="7" type="noConversion"/>
  <conditionalFormatting sqref="D3:D57">
    <cfRule type="cellIs" dxfId="3" priority="1" operator="equal">
      <formula>"非法"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defaultRowHeight="14"/>
  <cols>
    <col min="1" max="1" width="40" customWidth="1"/>
    <col min="2" max="2" width="4" customWidth="1"/>
    <col min="3" max="3" width="14" customWidth="1"/>
    <col min="4" max="4" width="22" customWidth="1"/>
  </cols>
  <sheetData>
    <row r="1" spans="1:4" ht="28" customHeight="1">
      <c r="A1" s="10" t="s">
        <v>135</v>
      </c>
      <c r="B1" s="11"/>
      <c r="C1" s="11"/>
      <c r="D1" s="11"/>
    </row>
    <row r="2" spans="1:4" ht="22" customHeight="1">
      <c r="A2" s="12" t="s">
        <v>136</v>
      </c>
      <c r="B2" s="11"/>
      <c r="C2" s="11"/>
      <c r="D2" s="11"/>
    </row>
    <row r="3" spans="1:4" ht="26" customHeight="1">
      <c r="A3" s="1" t="s">
        <v>2</v>
      </c>
      <c r="B3" s="1" t="s">
        <v>28</v>
      </c>
      <c r="C3" s="1" t="s">
        <v>137</v>
      </c>
      <c r="D3" s="1" t="s">
        <v>138</v>
      </c>
    </row>
    <row r="4" spans="1:4" ht="30" customHeight="1">
      <c r="A4" s="3" t="s">
        <v>6</v>
      </c>
      <c r="B4" s="2" t="s">
        <v>139</v>
      </c>
      <c r="C4" s="3" t="s">
        <v>140</v>
      </c>
      <c r="D4" s="2" t="s">
        <v>141</v>
      </c>
    </row>
    <row r="5" spans="1:4" ht="30" customHeight="1">
      <c r="A5" s="3" t="s">
        <v>15</v>
      </c>
      <c r="B5" s="2" t="s">
        <v>142</v>
      </c>
      <c r="C5" s="3" t="s">
        <v>143</v>
      </c>
      <c r="D5" s="2" t="s">
        <v>141</v>
      </c>
    </row>
    <row r="6" spans="1:4" ht="30" customHeight="1">
      <c r="A6" s="3" t="s">
        <v>21</v>
      </c>
      <c r="B6" s="2" t="s">
        <v>144</v>
      </c>
      <c r="C6" s="3" t="s">
        <v>145</v>
      </c>
      <c r="D6" s="2" t="s">
        <v>146</v>
      </c>
    </row>
    <row r="8" spans="1:4" ht="22" customHeight="1">
      <c r="A8" s="12" t="s">
        <v>147</v>
      </c>
      <c r="B8" s="11"/>
      <c r="C8" s="11"/>
      <c r="D8" s="11"/>
    </row>
    <row r="9" spans="1:4" ht="26" customHeight="1">
      <c r="A9" s="1" t="s">
        <v>148</v>
      </c>
      <c r="B9" s="1"/>
      <c r="C9" s="1" t="s">
        <v>149</v>
      </c>
      <c r="D9" s="1" t="s">
        <v>54</v>
      </c>
    </row>
    <row r="10" spans="1:4" ht="14.5">
      <c r="A10" s="3" t="s">
        <v>150</v>
      </c>
      <c r="B10" s="2"/>
      <c r="C10" s="4">
        <v>898</v>
      </c>
      <c r="D10" s="3" t="s">
        <v>151</v>
      </c>
    </row>
    <row r="11" spans="1:4" ht="29">
      <c r="A11" s="3" t="s">
        <v>152</v>
      </c>
      <c r="B11" s="2"/>
      <c r="C11" s="4">
        <v>102</v>
      </c>
      <c r="D11" s="3" t="s">
        <v>153</v>
      </c>
    </row>
    <row r="13" spans="1:4" ht="22" customHeight="1">
      <c r="A13" s="12" t="s">
        <v>154</v>
      </c>
      <c r="B13" s="11"/>
      <c r="C13" s="11"/>
      <c r="D13" s="11"/>
    </row>
    <row r="14" spans="1:4" ht="26" customHeight="1">
      <c r="A14" s="1" t="s">
        <v>155</v>
      </c>
      <c r="B14" s="1"/>
      <c r="C14" s="1" t="s">
        <v>156</v>
      </c>
      <c r="D14" s="1" t="s">
        <v>157</v>
      </c>
    </row>
    <row r="15" spans="1:4" ht="14.5">
      <c r="A15" s="3" t="s">
        <v>158</v>
      </c>
      <c r="B15" s="2"/>
      <c r="C15" s="4">
        <v>0</v>
      </c>
      <c r="D15" s="2" t="s">
        <v>159</v>
      </c>
    </row>
    <row r="16" spans="1:4" ht="14.5">
      <c r="A16" s="3" t="s">
        <v>160</v>
      </c>
      <c r="B16" s="2"/>
      <c r="C16" s="4">
        <v>0</v>
      </c>
      <c r="D16" s="2" t="s">
        <v>159</v>
      </c>
    </row>
    <row r="17" spans="1:4" ht="14.5">
      <c r="A17" s="3" t="s">
        <v>161</v>
      </c>
      <c r="B17" s="2"/>
      <c r="C17" s="4">
        <v>0</v>
      </c>
      <c r="D17" s="2" t="s">
        <v>159</v>
      </c>
    </row>
    <row r="18" spans="1:4" ht="14.5">
      <c r="A18" s="3" t="s">
        <v>162</v>
      </c>
      <c r="B18" s="2"/>
      <c r="C18" s="4">
        <v>0</v>
      </c>
      <c r="D18" s="2" t="s">
        <v>159</v>
      </c>
    </row>
    <row r="19" spans="1:4" ht="14.5">
      <c r="A19" s="3" t="s">
        <v>163</v>
      </c>
      <c r="B19" s="2"/>
      <c r="C19" s="4">
        <v>0</v>
      </c>
      <c r="D19" s="2" t="s">
        <v>159</v>
      </c>
    </row>
    <row r="20" spans="1:4" ht="14.5">
      <c r="A20" s="3" t="s">
        <v>164</v>
      </c>
      <c r="B20" s="2"/>
      <c r="C20" s="4">
        <v>0</v>
      </c>
      <c r="D20" s="2" t="s">
        <v>159</v>
      </c>
    </row>
    <row r="21" spans="1:4" ht="14.5">
      <c r="A21" s="3" t="s">
        <v>165</v>
      </c>
      <c r="B21" s="2"/>
      <c r="C21" s="4">
        <v>0</v>
      </c>
      <c r="D21" s="2" t="s">
        <v>159</v>
      </c>
    </row>
    <row r="23" spans="1:4" ht="24" customHeight="1">
      <c r="A23" s="14" t="s">
        <v>166</v>
      </c>
      <c r="B23" s="11"/>
      <c r="C23" s="11"/>
      <c r="D23" s="11"/>
    </row>
  </sheetData>
  <mergeCells count="5">
    <mergeCell ref="A1:D1"/>
    <mergeCell ref="A23:D23"/>
    <mergeCell ref="A8:D8"/>
    <mergeCell ref="A2:D2"/>
    <mergeCell ref="A13:D13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2" topLeftCell="A3" activePane="bottomLeft" state="frozen"/>
      <selection pane="bottomLeft"/>
    </sheetView>
  </sheetViews>
  <sheetFormatPr defaultRowHeight="14"/>
  <cols>
    <col min="1" max="1" width="18" customWidth="1"/>
    <col min="2" max="2" width="14" customWidth="1"/>
    <col min="3" max="3" width="28" customWidth="1"/>
    <col min="4" max="4" width="10" customWidth="1"/>
    <col min="5" max="5" width="16" customWidth="1"/>
    <col min="6" max="6" width="38" customWidth="1"/>
  </cols>
  <sheetData>
    <row r="1" spans="1:6" ht="28" customHeight="1">
      <c r="A1" s="10" t="s">
        <v>167</v>
      </c>
      <c r="B1" s="11"/>
      <c r="C1" s="11"/>
      <c r="D1" s="11"/>
      <c r="E1" s="11"/>
      <c r="F1" s="11"/>
    </row>
    <row r="2" spans="1:6" ht="26" customHeight="1">
      <c r="A2" s="1" t="s">
        <v>2</v>
      </c>
      <c r="B2" s="1" t="s">
        <v>28</v>
      </c>
      <c r="C2" s="1" t="s">
        <v>168</v>
      </c>
      <c r="D2" s="1" t="s">
        <v>149</v>
      </c>
      <c r="E2" s="1" t="s">
        <v>169</v>
      </c>
      <c r="F2" s="1" t="s">
        <v>54</v>
      </c>
    </row>
    <row r="3" spans="1:6" ht="24" customHeight="1">
      <c r="A3" s="3" t="s">
        <v>6</v>
      </c>
      <c r="B3" s="2" t="s">
        <v>35</v>
      </c>
      <c r="C3" s="3" t="s">
        <v>170</v>
      </c>
      <c r="D3" s="4">
        <v>27</v>
      </c>
      <c r="E3" s="2" t="s">
        <v>171</v>
      </c>
      <c r="F3" s="3" t="s">
        <v>172</v>
      </c>
    </row>
    <row r="4" spans="1:6" ht="24" customHeight="1">
      <c r="A4" s="3" t="s">
        <v>9</v>
      </c>
      <c r="B4" s="2" t="s">
        <v>173</v>
      </c>
      <c r="C4" s="3" t="s">
        <v>174</v>
      </c>
      <c r="D4" s="4">
        <v>20</v>
      </c>
      <c r="E4" s="2" t="s">
        <v>175</v>
      </c>
      <c r="F4" s="3" t="s">
        <v>176</v>
      </c>
    </row>
    <row r="5" spans="1:6" ht="24" customHeight="1">
      <c r="A5" s="3" t="s">
        <v>9</v>
      </c>
      <c r="B5" s="2" t="s">
        <v>173</v>
      </c>
      <c r="C5" s="3" t="s">
        <v>177</v>
      </c>
      <c r="D5" s="4">
        <v>16</v>
      </c>
      <c r="E5" s="2" t="s">
        <v>178</v>
      </c>
      <c r="F5" s="3" t="s">
        <v>179</v>
      </c>
    </row>
    <row r="6" spans="1:6" ht="24" customHeight="1">
      <c r="A6" s="3" t="s">
        <v>15</v>
      </c>
      <c r="B6" s="2" t="s">
        <v>180</v>
      </c>
      <c r="C6" s="3" t="s">
        <v>174</v>
      </c>
      <c r="D6" s="4">
        <v>310</v>
      </c>
      <c r="E6" s="2" t="s">
        <v>181</v>
      </c>
      <c r="F6" s="3" t="s">
        <v>182</v>
      </c>
    </row>
    <row r="7" spans="1:6" ht="24" customHeight="1">
      <c r="A7" s="3" t="s">
        <v>15</v>
      </c>
      <c r="B7" s="2" t="s">
        <v>180</v>
      </c>
      <c r="C7" s="3" t="s">
        <v>183</v>
      </c>
      <c r="D7" s="4">
        <v>312</v>
      </c>
      <c r="E7" s="2" t="s">
        <v>178</v>
      </c>
      <c r="F7" s="3" t="s">
        <v>184</v>
      </c>
    </row>
    <row r="8" spans="1:6" ht="24" customHeight="1">
      <c r="A8" s="3" t="s">
        <v>18</v>
      </c>
      <c r="B8" s="2" t="s">
        <v>185</v>
      </c>
      <c r="C8" s="3" t="s">
        <v>186</v>
      </c>
      <c r="D8" s="4">
        <v>386</v>
      </c>
      <c r="E8" s="2" t="s">
        <v>187</v>
      </c>
      <c r="F8" s="3" t="s">
        <v>188</v>
      </c>
    </row>
    <row r="9" spans="1:6" ht="24" customHeight="1">
      <c r="A9" s="3" t="s">
        <v>18</v>
      </c>
      <c r="B9" s="2" t="s">
        <v>185</v>
      </c>
      <c r="C9" s="3" t="s">
        <v>174</v>
      </c>
      <c r="D9" s="4">
        <v>332</v>
      </c>
      <c r="E9" s="2" t="s">
        <v>187</v>
      </c>
      <c r="F9" s="3" t="s">
        <v>188</v>
      </c>
    </row>
    <row r="10" spans="1:6" ht="24" customHeight="1">
      <c r="A10" s="3" t="s">
        <v>18</v>
      </c>
      <c r="B10" s="2" t="s">
        <v>185</v>
      </c>
      <c r="C10" s="3" t="s">
        <v>189</v>
      </c>
      <c r="D10" s="4">
        <v>363</v>
      </c>
      <c r="E10" s="2" t="s">
        <v>190</v>
      </c>
      <c r="F10" s="3" t="s">
        <v>191</v>
      </c>
    </row>
    <row r="11" spans="1:6" ht="24" customHeight="1">
      <c r="A11" s="3" t="s">
        <v>18</v>
      </c>
      <c r="B11" s="2" t="s">
        <v>192</v>
      </c>
      <c r="C11" s="3" t="s">
        <v>193</v>
      </c>
      <c r="D11" s="4">
        <v>798</v>
      </c>
      <c r="E11" s="2" t="s">
        <v>175</v>
      </c>
      <c r="F11" s="3" t="s">
        <v>194</v>
      </c>
    </row>
    <row r="12" spans="1:6" ht="24" customHeight="1">
      <c r="A12" s="3" t="s">
        <v>18</v>
      </c>
      <c r="B12" s="2" t="s">
        <v>195</v>
      </c>
      <c r="C12" s="3" t="s">
        <v>196</v>
      </c>
      <c r="D12" s="4">
        <v>0</v>
      </c>
      <c r="E12" s="2" t="s">
        <v>197</v>
      </c>
      <c r="F12" s="3" t="s">
        <v>44</v>
      </c>
    </row>
    <row r="13" spans="1:6" ht="24" customHeight="1">
      <c r="A13" s="3" t="s">
        <v>12</v>
      </c>
      <c r="B13" s="2" t="s">
        <v>198</v>
      </c>
      <c r="C13" s="3" t="s">
        <v>26</v>
      </c>
      <c r="D13" s="4">
        <v>0</v>
      </c>
      <c r="E13" s="2" t="s">
        <v>199</v>
      </c>
      <c r="F13" s="3" t="s">
        <v>44</v>
      </c>
    </row>
  </sheetData>
  <autoFilter ref="A2:F13" xr:uid="{00000000-0009-0000-0000-000005000000}"/>
  <mergeCells count="1">
    <mergeCell ref="A1:F1"/>
  </mergeCells>
  <phoneticPr fontId="7" type="noConversion"/>
  <conditionalFormatting sqref="D3:D13">
    <cfRule type="cellIs" dxfId="2" priority="1" operator="greaterThan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pane ySplit="2" topLeftCell="A3" activePane="bottomLeft" state="frozen"/>
      <selection pane="bottomLeft"/>
    </sheetView>
  </sheetViews>
  <sheetFormatPr defaultRowHeight="14"/>
  <cols>
    <col min="1" max="1" width="10" customWidth="1"/>
    <col min="2" max="2" width="58" customWidth="1"/>
    <col min="3" max="3" width="30" customWidth="1"/>
    <col min="4" max="4" width="24" customWidth="1"/>
  </cols>
  <sheetData>
    <row r="1" spans="1:4" ht="28" customHeight="1">
      <c r="A1" s="10" t="s">
        <v>200</v>
      </c>
      <c r="B1" s="11"/>
      <c r="C1" s="11"/>
      <c r="D1" s="11"/>
    </row>
    <row r="2" spans="1:4" ht="26" customHeight="1">
      <c r="A2" s="1" t="s">
        <v>201</v>
      </c>
      <c r="B2" s="1" t="s">
        <v>202</v>
      </c>
      <c r="C2" s="1" t="s">
        <v>203</v>
      </c>
      <c r="D2" s="1" t="s">
        <v>204</v>
      </c>
    </row>
    <row r="3" spans="1:4" ht="30" customHeight="1">
      <c r="A3" s="2" t="s">
        <v>205</v>
      </c>
      <c r="B3" s="3" t="s">
        <v>206</v>
      </c>
      <c r="C3" s="3" t="s">
        <v>207</v>
      </c>
      <c r="D3" s="2" t="s">
        <v>208</v>
      </c>
    </row>
    <row r="4" spans="1:4" ht="30" customHeight="1">
      <c r="A4" s="2" t="s">
        <v>205</v>
      </c>
      <c r="B4" s="3" t="s">
        <v>209</v>
      </c>
      <c r="C4" s="3" t="s">
        <v>210</v>
      </c>
      <c r="D4" s="2" t="s">
        <v>211</v>
      </c>
    </row>
    <row r="5" spans="1:4" ht="30" customHeight="1">
      <c r="A5" s="2" t="s">
        <v>212</v>
      </c>
      <c r="B5" s="3" t="s">
        <v>213</v>
      </c>
      <c r="C5" s="3" t="s">
        <v>214</v>
      </c>
      <c r="D5" s="2" t="s">
        <v>215</v>
      </c>
    </row>
    <row r="6" spans="1:4" ht="30" customHeight="1">
      <c r="A6" s="2" t="s">
        <v>212</v>
      </c>
      <c r="B6" s="3" t="s">
        <v>216</v>
      </c>
      <c r="C6" s="3" t="s">
        <v>217</v>
      </c>
      <c r="D6" s="2" t="s">
        <v>218</v>
      </c>
    </row>
    <row r="7" spans="1:4" ht="30" customHeight="1">
      <c r="A7" s="2" t="s">
        <v>219</v>
      </c>
      <c r="B7" s="3" t="s">
        <v>220</v>
      </c>
      <c r="C7" s="3" t="s">
        <v>221</v>
      </c>
      <c r="D7" s="2" t="s">
        <v>218</v>
      </c>
    </row>
    <row r="8" spans="1:4" ht="30" customHeight="1">
      <c r="A8" s="2" t="s">
        <v>219</v>
      </c>
      <c r="B8" s="3" t="s">
        <v>222</v>
      </c>
      <c r="C8" s="3" t="s">
        <v>223</v>
      </c>
      <c r="D8" s="2" t="s">
        <v>218</v>
      </c>
    </row>
  </sheetData>
  <autoFilter ref="A2:D8" xr:uid="{00000000-0009-0000-0000-000006000000}"/>
  <mergeCells count="1">
    <mergeCell ref="A1:D1"/>
  </mergeCells>
  <phoneticPr fontId="7" type="noConversion"/>
  <conditionalFormatting sqref="A3:A8">
    <cfRule type="cellIs" dxfId="1" priority="1" operator="equal">
      <formula>"P0"</formula>
    </cfRule>
    <cfRule type="cellIs" dxfId="0" priority="2" operator="equal">
      <formula>"P1"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6"/>
  <sheetViews>
    <sheetView workbookViewId="0"/>
  </sheetViews>
  <sheetFormatPr defaultRowHeight="14"/>
  <cols>
    <col min="1" max="1" width="24" customWidth="1"/>
    <col min="2" max="2" width="16" customWidth="1"/>
    <col min="3" max="3" width="46" customWidth="1"/>
    <col min="4" max="4" width="20" customWidth="1"/>
  </cols>
  <sheetData>
    <row r="1" spans="1:5" ht="28" customHeight="1">
      <c r="A1" s="10" t="s">
        <v>224</v>
      </c>
      <c r="B1" s="11"/>
      <c r="C1" s="11"/>
      <c r="D1" s="11"/>
      <c r="E1" s="11"/>
    </row>
    <row r="2" spans="1:5" ht="22" customHeight="1">
      <c r="A2" s="12" t="s">
        <v>225</v>
      </c>
      <c r="B2" s="11"/>
      <c r="C2" s="11"/>
      <c r="D2" s="11"/>
    </row>
    <row r="3" spans="1:5" ht="26" customHeight="1">
      <c r="A3" s="1" t="s">
        <v>226</v>
      </c>
      <c r="B3" s="1" t="s">
        <v>227</v>
      </c>
      <c r="C3" s="1" t="s">
        <v>228</v>
      </c>
      <c r="D3" s="1" t="s">
        <v>229</v>
      </c>
    </row>
    <row r="4" spans="1:5" ht="14.5">
      <c r="A4" s="3" t="s">
        <v>230</v>
      </c>
      <c r="B4" s="4">
        <v>1000</v>
      </c>
      <c r="C4" s="4">
        <v>1000</v>
      </c>
      <c r="D4" s="3" t="s">
        <v>231</v>
      </c>
    </row>
    <row r="5" spans="1:5" ht="14.5">
      <c r="A5" s="3" t="s">
        <v>232</v>
      </c>
      <c r="B5" s="4">
        <v>600</v>
      </c>
      <c r="C5" s="4">
        <v>600</v>
      </c>
      <c r="D5" s="3" t="s">
        <v>231</v>
      </c>
    </row>
    <row r="6" spans="1:5" ht="14.5">
      <c r="A6" s="3" t="s">
        <v>233</v>
      </c>
      <c r="B6" s="4">
        <v>15600</v>
      </c>
      <c r="C6" s="4">
        <v>15000</v>
      </c>
      <c r="D6" s="3" t="s">
        <v>234</v>
      </c>
    </row>
    <row r="7" spans="1:5" ht="14.5">
      <c r="A7" s="3" t="s">
        <v>235</v>
      </c>
      <c r="B7" s="4">
        <v>60</v>
      </c>
      <c r="C7" s="4" t="s">
        <v>26</v>
      </c>
      <c r="D7" s="3" t="s">
        <v>236</v>
      </c>
    </row>
    <row r="8" spans="1:5" ht="14.5">
      <c r="A8" s="3" t="s">
        <v>237</v>
      </c>
      <c r="B8" s="4">
        <v>37549</v>
      </c>
      <c r="C8" s="4" t="s">
        <v>26</v>
      </c>
      <c r="D8" s="3" t="s">
        <v>238</v>
      </c>
    </row>
    <row r="9" spans="1:5" ht="14.5">
      <c r="A9" s="3" t="s">
        <v>239</v>
      </c>
      <c r="B9" s="4">
        <v>60000</v>
      </c>
      <c r="C9" s="4" t="s">
        <v>26</v>
      </c>
      <c r="D9" s="3" t="s">
        <v>238</v>
      </c>
    </row>
    <row r="11" spans="1:5" ht="22" customHeight="1">
      <c r="A11" s="12" t="s">
        <v>240</v>
      </c>
      <c r="B11" s="11"/>
      <c r="C11" s="11"/>
      <c r="D11" s="11"/>
    </row>
    <row r="12" spans="1:5" ht="26" customHeight="1">
      <c r="A12" s="1" t="s">
        <v>241</v>
      </c>
      <c r="B12" s="1" t="s">
        <v>242</v>
      </c>
      <c r="C12" s="1" t="s">
        <v>243</v>
      </c>
      <c r="D12" s="1" t="s">
        <v>244</v>
      </c>
    </row>
    <row r="13" spans="1:5" ht="24" customHeight="1">
      <c r="A13" s="3" t="s">
        <v>245</v>
      </c>
      <c r="B13" s="4">
        <v>78</v>
      </c>
      <c r="C13" s="4">
        <v>0</v>
      </c>
      <c r="D13" s="3" t="s">
        <v>246</v>
      </c>
    </row>
    <row r="14" spans="1:5" ht="24" customHeight="1">
      <c r="A14" s="3" t="s">
        <v>247</v>
      </c>
      <c r="B14" s="4">
        <v>84</v>
      </c>
      <c r="C14" s="4">
        <v>0</v>
      </c>
      <c r="D14" s="3" t="s">
        <v>34</v>
      </c>
    </row>
    <row r="15" spans="1:5" ht="24" customHeight="1">
      <c r="A15" s="3" t="s">
        <v>248</v>
      </c>
      <c r="B15" s="4">
        <v>14</v>
      </c>
      <c r="C15" s="4">
        <v>0</v>
      </c>
      <c r="D15" s="3" t="s">
        <v>38</v>
      </c>
    </row>
    <row r="16" spans="1:5" ht="24" customHeight="1">
      <c r="A16" s="3" t="s">
        <v>249</v>
      </c>
      <c r="B16" s="4">
        <v>11</v>
      </c>
      <c r="C16" s="4">
        <v>0</v>
      </c>
      <c r="D16" s="3" t="s">
        <v>250</v>
      </c>
    </row>
    <row r="17" spans="1:4" ht="24" customHeight="1">
      <c r="A17" s="3" t="s">
        <v>251</v>
      </c>
      <c r="B17" s="4">
        <v>600</v>
      </c>
      <c r="C17" s="4">
        <v>0</v>
      </c>
      <c r="D17" s="3" t="s">
        <v>252</v>
      </c>
    </row>
    <row r="18" spans="1:4" ht="24" customHeight="1">
      <c r="A18" s="3" t="s">
        <v>253</v>
      </c>
      <c r="B18" s="4">
        <v>193</v>
      </c>
      <c r="C18" s="4">
        <v>193</v>
      </c>
      <c r="D18" s="3" t="s">
        <v>254</v>
      </c>
    </row>
    <row r="20" spans="1:4" ht="22" customHeight="1">
      <c r="A20" s="12" t="s">
        <v>255</v>
      </c>
      <c r="B20" s="11"/>
      <c r="C20" s="11"/>
      <c r="D20" s="11"/>
    </row>
    <row r="21" spans="1:4" ht="26" customHeight="1">
      <c r="A21" s="1" t="s">
        <v>256</v>
      </c>
      <c r="B21" s="1" t="s">
        <v>257</v>
      </c>
      <c r="C21" s="1"/>
      <c r="D21" s="1"/>
    </row>
    <row r="22" spans="1:4" ht="14.5">
      <c r="A22" s="3" t="s">
        <v>258</v>
      </c>
      <c r="B22" s="4">
        <f>B13+B14+B15+B16+B17</f>
        <v>787</v>
      </c>
      <c r="C22" s="3" t="s">
        <v>259</v>
      </c>
      <c r="D22" s="2"/>
    </row>
    <row r="23" spans="1:4" ht="14.5">
      <c r="A23" s="3" t="s">
        <v>260</v>
      </c>
      <c r="B23" s="4">
        <f>C13+C14+C15+C16+C17</f>
        <v>0</v>
      </c>
      <c r="C23" s="3" t="s">
        <v>261</v>
      </c>
      <c r="D23" s="2"/>
    </row>
    <row r="24" spans="1:4" ht="14.5">
      <c r="A24" s="9" t="s">
        <v>262</v>
      </c>
      <c r="B24" s="8">
        <f>IF(OR(B22="",B22=0),"",(B22-B23)/B22)</f>
        <v>1</v>
      </c>
      <c r="C24" s="5" t="s">
        <v>26</v>
      </c>
      <c r="D24" s="5"/>
    </row>
    <row r="26" spans="1:4" ht="22" customHeight="1">
      <c r="A26" s="12" t="s">
        <v>263</v>
      </c>
      <c r="B26" s="11"/>
      <c r="C26" s="11"/>
      <c r="D26" s="11"/>
    </row>
    <row r="27" spans="1:4" ht="26" customHeight="1">
      <c r="A27" s="1" t="s">
        <v>256</v>
      </c>
      <c r="B27" s="1" t="s">
        <v>257</v>
      </c>
      <c r="C27" s="1"/>
      <c r="D27" s="1"/>
    </row>
    <row r="28" spans="1:4" ht="14.5">
      <c r="A28" s="3" t="s">
        <v>264</v>
      </c>
      <c r="B28" s="4">
        <v>15600</v>
      </c>
      <c r="C28" s="2"/>
      <c r="D28" s="2"/>
    </row>
    <row r="29" spans="1:4" ht="14.5">
      <c r="A29" s="3" t="s">
        <v>265</v>
      </c>
      <c r="B29" s="4">
        <v>15000</v>
      </c>
      <c r="C29" s="2"/>
      <c r="D29" s="2"/>
    </row>
    <row r="30" spans="1:4" ht="14.5">
      <c r="A30" s="3" t="s">
        <v>48</v>
      </c>
      <c r="B30" s="4">
        <v>600</v>
      </c>
      <c r="C30" s="2"/>
      <c r="D30" s="2"/>
    </row>
    <row r="31" spans="1:4" ht="14.5">
      <c r="A31" s="3" t="s">
        <v>49</v>
      </c>
      <c r="B31" s="7">
        <f>IF(OR(B28="",B28=0),"",B30/B28)</f>
        <v>3.8461538461538464E-2</v>
      </c>
      <c r="C31" s="3" t="s">
        <v>266</v>
      </c>
      <c r="D31" s="2"/>
    </row>
    <row r="32" spans="1:4" ht="14.5">
      <c r="A32" s="3" t="s">
        <v>267</v>
      </c>
      <c r="B32" s="4">
        <v>586</v>
      </c>
      <c r="C32" s="2"/>
      <c r="D32" s="2"/>
    </row>
    <row r="33" spans="1:4" ht="14.5">
      <c r="A33" s="3" t="s">
        <v>268</v>
      </c>
      <c r="B33" s="4">
        <v>4</v>
      </c>
      <c r="C33" s="2"/>
      <c r="D33" s="2"/>
    </row>
    <row r="34" spans="1:4" ht="14.5">
      <c r="A34" s="3" t="s">
        <v>269</v>
      </c>
      <c r="B34" s="4">
        <v>14414</v>
      </c>
      <c r="C34" s="2"/>
      <c r="D34" s="2"/>
    </row>
    <row r="36" spans="1:4" ht="24" customHeight="1">
      <c r="A36" s="14" t="s">
        <v>270</v>
      </c>
      <c r="B36" s="11"/>
      <c r="C36" s="11"/>
      <c r="D36" s="11"/>
    </row>
  </sheetData>
  <mergeCells count="6">
    <mergeCell ref="A36:D36"/>
    <mergeCell ref="A26:D26"/>
    <mergeCell ref="A20:D20"/>
    <mergeCell ref="A1:E1"/>
    <mergeCell ref="A2:D2"/>
    <mergeCell ref="A11:D1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完整性</vt:lpstr>
      <vt:lpstr>唯一性</vt:lpstr>
      <vt:lpstr>有效性</vt:lpstr>
      <vt:lpstr>一致性</vt:lpstr>
      <vt:lpstr>准确性</vt:lpstr>
      <vt:lpstr>问题汇总</vt:lpstr>
      <vt:lpstr>清洗对比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数据质量预评估表</dc:title>
  <dc:creator>openpyxl</dc:creator>
  <cp:lastModifiedBy>YUXIANG ZHANG</cp:lastModifiedBy>
  <dcterms:created xsi:type="dcterms:W3CDTF">2026-10-29T06:15:22Z</dcterms:created>
  <dcterms:modified xsi:type="dcterms:W3CDTF">2026-10-29T06:16:11Z</dcterms:modified>
</cp:coreProperties>
</file>